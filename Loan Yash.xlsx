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k\Downloads\Loan\"/>
    </mc:Choice>
  </mc:AlternateContent>
  <xr:revisionPtr revIDLastSave="0" documentId="8_{115A2D27-AB64-41CB-98D2-CD5A946E3DC0}" xr6:coauthVersionLast="47" xr6:coauthVersionMax="47" xr10:uidLastSave="{00000000-0000-0000-0000-000000000000}"/>
  <bookViews>
    <workbookView xWindow="-120" yWindow="-120" windowWidth="29040" windowHeight="15720" xr2:uid="{A84143F2-B487-474C-913F-DFAB34F82F0A}"/>
  </bookViews>
  <sheets>
    <sheet name="Sheet1" sheetId="1" r:id="rId1"/>
    <sheet name="Sheet2" sheetId="2" r:id="rId2"/>
  </sheets>
  <definedNames>
    <definedName name="_xlnm._FilterDatabase" localSheetId="0" hidden="1">Sheet1!$A$1:$G$87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2" i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3" i="1"/>
  <c r="G2" i="1"/>
  <c r="F87" i="1" l="1"/>
  <c r="G87" i="1"/>
</calcChain>
</file>

<file path=xl/sharedStrings.xml><?xml version="1.0" encoding="utf-8"?>
<sst xmlns="http://schemas.openxmlformats.org/spreadsheetml/2006/main" count="349" uniqueCount="276">
  <si>
    <t>Transaction Date</t>
  </si>
  <si>
    <t>Tran Id</t>
  </si>
  <si>
    <t>Remarks</t>
  </si>
  <si>
    <t>Amount</t>
  </si>
  <si>
    <t>Balance</t>
  </si>
  <si>
    <t>A46129</t>
  </si>
  <si>
    <t>Loan Recovery From : 374102010034278</t>
  </si>
  <si>
    <t>19,000.00(Cr)</t>
  </si>
  <si>
    <t>-23,56,443.48</t>
  </si>
  <si>
    <t>S11965354</t>
  </si>
  <si>
    <t>374106550610128:N Int.:07-06-2024 to 06-07-2024</t>
  </si>
  <si>
    <t>18,490.00(Dr)</t>
  </si>
  <si>
    <t>-23,75,443.48</t>
  </si>
  <si>
    <t>A289343</t>
  </si>
  <si>
    <t>20,000.00(Cr)</t>
  </si>
  <si>
    <t>-23,56,953.48</t>
  </si>
  <si>
    <t>S91712128</t>
  </si>
  <si>
    <t>374106550610128:N Int.:07-05-2024 to 06-06-2024</t>
  </si>
  <si>
    <t>19,306.00(Dr)</t>
  </si>
  <si>
    <t>-23,76,953.48</t>
  </si>
  <si>
    <t>A869071</t>
  </si>
  <si>
    <t>18,843.00(Cr)</t>
  </si>
  <si>
    <t>-23,57,647.48</t>
  </si>
  <si>
    <t>A865894</t>
  </si>
  <si>
    <t>19,584.00(Cr)</t>
  </si>
  <si>
    <t>-23,76,490.48</t>
  </si>
  <si>
    <t>S73922893</t>
  </si>
  <si>
    <t>374106550610128:N Int.:07-04-2024 to 06-05-2024</t>
  </si>
  <si>
    <t>18,843.00(Dr)</t>
  </si>
  <si>
    <t>-23,96,074.48</t>
  </si>
  <si>
    <t>S55177769</t>
  </si>
  <si>
    <t>374106550610128:N Int.:07-03-2024 to 06-04-2024</t>
  </si>
  <si>
    <t>19,584.00(Dr)</t>
  </si>
  <si>
    <t>-23,77,231.48</t>
  </si>
  <si>
    <t>A623789</t>
  </si>
  <si>
    <t>18,357.00(Cr)</t>
  </si>
  <si>
    <t>S66215484</t>
  </si>
  <si>
    <t>374106550610128:N Int.:07-02-2024 to 06-03-2024</t>
  </si>
  <si>
    <t>18,357.00(Dr)</t>
  </si>
  <si>
    <t>-23,76,004.48</t>
  </si>
  <si>
    <t>S23204018</t>
  </si>
  <si>
    <t>Loan Coll. From374102010034278</t>
  </si>
  <si>
    <t>19,013.00(Cr)</t>
  </si>
  <si>
    <t>S88353535</t>
  </si>
  <si>
    <t>374106550610128:N Int.:07-01-2024 to 06-02-2024</t>
  </si>
  <si>
    <t>19,013.00(Dr)</t>
  </si>
  <si>
    <t>-23,76,660.48</t>
  </si>
  <si>
    <t>A932007</t>
  </si>
  <si>
    <t>374106550610128 Loan Disbursement Debit</t>
  </si>
  <si>
    <t>11,35,971.07(Dr)</t>
  </si>
  <si>
    <t>S55950976</t>
  </si>
  <si>
    <t>10,168.00(Cr)</t>
  </si>
  <si>
    <t>-12,21,676.41</t>
  </si>
  <si>
    <t>S80433915</t>
  </si>
  <si>
    <t>374106550610128:N Int.:07-12-2023 to 06-01-2024</t>
  </si>
  <si>
    <t>10,168.00(Dr)</t>
  </si>
  <si>
    <t>-12,31,844.41</t>
  </si>
  <si>
    <t>S43655263</t>
  </si>
  <si>
    <t>9,840.00(Cr)</t>
  </si>
  <si>
    <t>S4923398</t>
  </si>
  <si>
    <t>374106550610128:N Int.:07-11-2023 to 06-12-2023</t>
  </si>
  <si>
    <t>9,840.00(Dr)</t>
  </si>
  <si>
    <t>-12,31,516.41</t>
  </si>
  <si>
    <t>S48901358</t>
  </si>
  <si>
    <t>S11251445</t>
  </si>
  <si>
    <t>374106550610128:N Int.:07-10-2023 to 06-11-2023</t>
  </si>
  <si>
    <t>S15652543</t>
  </si>
  <si>
    <t>S84875020</t>
  </si>
  <si>
    <t>374106550610128:N Int.:07-09-2023 to 06-10-2023</t>
  </si>
  <si>
    <t>S81946041</t>
  </si>
  <si>
    <t>4,367.77(Cr)</t>
  </si>
  <si>
    <t>S42350818</t>
  </si>
  <si>
    <t>5,800.23(Cr)</t>
  </si>
  <si>
    <t>-12,26,044.18</t>
  </si>
  <si>
    <t>S8880164</t>
  </si>
  <si>
    <t>374106550610128:N Int.:07-08-2023 to 06-09-2023</t>
  </si>
  <si>
    <t>S97504612</t>
  </si>
  <si>
    <t>5,576.00(Cr)</t>
  </si>
  <si>
    <t>S65447884</t>
  </si>
  <si>
    <t>374106550610128:N Int.:07-07-2023 to 06-08-2023</t>
  </si>
  <si>
    <t>5,576.00(Dr)</t>
  </si>
  <si>
    <t>-12,27,252.41</t>
  </si>
  <si>
    <t>V25172261</t>
  </si>
  <si>
    <t>AA5274784</t>
  </si>
  <si>
    <t>-40,86,637.36</t>
  </si>
  <si>
    <t>X86449146</t>
  </si>
  <si>
    <t>374106550610128:N Int.:07-06-2025 to 06-07-2025</t>
  </si>
  <si>
    <t>26,918.00(Dr)</t>
  </si>
  <si>
    <t>-41,06,637.36</t>
  </si>
  <si>
    <t>Y45497423</t>
  </si>
  <si>
    <t>-40,79,719.36</t>
  </si>
  <si>
    <t>T17961784</t>
  </si>
  <si>
    <t>374106550610128:N Int.:07-05-2025 to 06-06-2025</t>
  </si>
  <si>
    <t>29,329.00(Dr)</t>
  </si>
  <si>
    <t>-40,99,719.36</t>
  </si>
  <si>
    <t>U7399398</t>
  </si>
  <si>
    <t>-40,70,390.36</t>
  </si>
  <si>
    <t>W35897911</t>
  </si>
  <si>
    <t>374106550610128:N Int.:07-04-2025 to 06-05-2025</t>
  </si>
  <si>
    <t>28,636.00(Dr)</t>
  </si>
  <si>
    <t>-40,90,390.36</t>
  </si>
  <si>
    <t>W83706605</t>
  </si>
  <si>
    <t>-40,61,754.36</t>
  </si>
  <si>
    <t>S91812801</t>
  </si>
  <si>
    <t>374106550610128:N Int.:07-03-2025 to 06-04-2025</t>
  </si>
  <si>
    <t>30,442.00(Dr)</t>
  </si>
  <si>
    <t>-40,81,754.36</t>
  </si>
  <si>
    <t>T31175279</t>
  </si>
  <si>
    <t>-40,51,312.36</t>
  </si>
  <si>
    <t>S43543761</t>
  </si>
  <si>
    <t>374106550610128:N Int.:07-02-2025 to 06-03-2025</t>
  </si>
  <si>
    <t>27,750.00(Dr)</t>
  </si>
  <si>
    <t>-40,71,312.36</t>
  </si>
  <si>
    <t>S8539880</t>
  </si>
  <si>
    <t>-40,43,562.36</t>
  </si>
  <si>
    <t>S37578114</t>
  </si>
  <si>
    <t>374106550610128:N Int.:07-01-2025 to 06-02-2025</t>
  </si>
  <si>
    <t>29,285.00(Dr)</t>
  </si>
  <si>
    <t>-40,63,562.36</t>
  </si>
  <si>
    <t>A900594</t>
  </si>
  <si>
    <t>3,39,000.00(Dr)</t>
  </si>
  <si>
    <t>-40,34,277.36</t>
  </si>
  <si>
    <t>S14590318</t>
  </si>
  <si>
    <t>-36,95,277.36</t>
  </si>
  <si>
    <t>S37379973</t>
  </si>
  <si>
    <t>374106550610128:N Int.:07-12-2024 to 06-01-2025</t>
  </si>
  <si>
    <t>28,916.00(Dr)</t>
  </si>
  <si>
    <t>-37,15,277.36</t>
  </si>
  <si>
    <t>S97115556</t>
  </si>
  <si>
    <t>-36,86,361.36</t>
  </si>
  <si>
    <t>S30053860</t>
  </si>
  <si>
    <t>374106550610128:N Int.:07-11-2024 to 06-12-2024</t>
  </si>
  <si>
    <t>28,148.00(Dr)</t>
  </si>
  <si>
    <t>-37,06,361.36</t>
  </si>
  <si>
    <t>S81290388</t>
  </si>
  <si>
    <t>-36,78,213.36</t>
  </si>
  <si>
    <t>S56323888</t>
  </si>
  <si>
    <t>374106550610128:N Int.:07-10-2024 to 06-11-2024</t>
  </si>
  <si>
    <t>29,244.00(Dr)</t>
  </si>
  <si>
    <t>-36,98,213.36</t>
  </si>
  <si>
    <t>S7396341</t>
  </si>
  <si>
    <t>-36,68,969.36</t>
  </si>
  <si>
    <t>S6980367</t>
  </si>
  <si>
    <t>374106550610128:N Int.:07-09-2024 to 06-10-2024</t>
  </si>
  <si>
    <t>28,470.00(Dr)</t>
  </si>
  <si>
    <t>-36,88,969.36</t>
  </si>
  <si>
    <t>S78064913</t>
  </si>
  <si>
    <t>-36,60,499.36</t>
  </si>
  <si>
    <t>S15313610</t>
  </si>
  <si>
    <t>374106550610128:N Int.:07-08-2024 to 06-09-2024</t>
  </si>
  <si>
    <t>25,094.00(Dr)</t>
  </si>
  <si>
    <t>-36,80,499.36</t>
  </si>
  <si>
    <t>A782835</t>
  </si>
  <si>
    <t>-36,55,405.36</t>
  </si>
  <si>
    <t>A21294</t>
  </si>
  <si>
    <t>12,99,018.88(Dr)</t>
  </si>
  <si>
    <t>-36,74,405.36</t>
  </si>
  <si>
    <t>S40218525</t>
  </si>
  <si>
    <t>374106550610128:N Int.:07-07-2024 to 06-08-2024</t>
  </si>
  <si>
    <t>18,943.00(Dr)</t>
  </si>
  <si>
    <t>-23,75,386.48</t>
  </si>
  <si>
    <t>U25920276</t>
  </si>
  <si>
    <t>NEFT:YASH KATTIMANI HDFCH00935992955</t>
  </si>
  <si>
    <t>1,50,000.00(Cr)</t>
  </si>
  <si>
    <t>-30,24,472.36</t>
  </si>
  <si>
    <t>U93958921</t>
  </si>
  <si>
    <t>374106550610128:N Int.:07-03-2026 to 06-04-2026</t>
  </si>
  <si>
    <t>18,569.00(Dr)</t>
  </si>
  <si>
    <t>-31,74,472.36</t>
  </si>
  <si>
    <t>U12942334</t>
  </si>
  <si>
    <t>-31,55,903.36</t>
  </si>
  <si>
    <t>T88697205</t>
  </si>
  <si>
    <t>374106550610128:N Int.:07-02-2026 to 06-03-2026</t>
  </si>
  <si>
    <t>16,912.00(Dr)</t>
  </si>
  <si>
    <t>-31,75,903.36</t>
  </si>
  <si>
    <t>V8972202</t>
  </si>
  <si>
    <t>-31,58,991.36</t>
  </si>
  <si>
    <t>V54625596</t>
  </si>
  <si>
    <t>374106550610128:N Int.:07-01-2026 to 06-02-2026</t>
  </si>
  <si>
    <t>20,403.00(Dr)</t>
  </si>
  <si>
    <t>-31,78,991.36</t>
  </si>
  <si>
    <t>U46052538</t>
  </si>
  <si>
    <t>NEFT:YASH KATTIMANI HDFCH00782694123</t>
  </si>
  <si>
    <t>1,00,000.00(Cr)</t>
  </si>
  <si>
    <t>-31,58,588.36</t>
  </si>
  <si>
    <t>Y89654155</t>
  </si>
  <si>
    <t>NEFT:YASH KATTIMANI HDFCH00772618759</t>
  </si>
  <si>
    <t>50,000.00(Cr)</t>
  </si>
  <si>
    <t>-32,58,588.36</t>
  </si>
  <si>
    <t>Y58348977</t>
  </si>
  <si>
    <t>NEFT:YASH KATTIMANI HDFCH00772334747</t>
  </si>
  <si>
    <t>-33,08,588.36</t>
  </si>
  <si>
    <t>T14354291</t>
  </si>
  <si>
    <t>-34,08,588.36</t>
  </si>
  <si>
    <t>W501139</t>
  </si>
  <si>
    <t>374106550610128:N Int.:07-12-2025 to 06-01-2026</t>
  </si>
  <si>
    <t>21,155.00(Dr)</t>
  </si>
  <si>
    <t>-34,28,588.36</t>
  </si>
  <si>
    <t>V30340511</t>
  </si>
  <si>
    <t>-34,07,433.36</t>
  </si>
  <si>
    <t>U56250040</t>
  </si>
  <si>
    <t>NEFT:YASH KATTIMANI HDFCH00674729441</t>
  </si>
  <si>
    <t>70,000.00(Cr)</t>
  </si>
  <si>
    <t>-34,27,433.36</t>
  </si>
  <si>
    <t>V61555645</t>
  </si>
  <si>
    <t>374106550610128:N Int.:07-11-2025 to 06-12-2025</t>
  </si>
  <si>
    <t>22,032.00(Dr)</t>
  </si>
  <si>
    <t>-34,97,433.36</t>
  </si>
  <si>
    <t>X37602837</t>
  </si>
  <si>
    <t>NEFT:YASH KATTIMANI HDFCH00636677525</t>
  </si>
  <si>
    <t>1,20,000.00(Cr)</t>
  </si>
  <si>
    <t>-34,75,401.36</t>
  </si>
  <si>
    <t>W49271067</t>
  </si>
  <si>
    <t>-35,95,401.36</t>
  </si>
  <si>
    <t>Y39939628</t>
  </si>
  <si>
    <t>NEFT:YASH KATTIMANI HDFCH00600695783</t>
  </si>
  <si>
    <t>1,10,000.00(Cr)</t>
  </si>
  <si>
    <t>-36,15,401.36</t>
  </si>
  <si>
    <t>Y39939576</t>
  </si>
  <si>
    <t>NEFT:YASH KATTIMANI HDFCH00600696237</t>
  </si>
  <si>
    <t>25,000.00(Cr)</t>
  </si>
  <si>
    <t>-37,25,401.36</t>
  </si>
  <si>
    <t>X64336671</t>
  </si>
  <si>
    <t>374106550610128:N Int.:07-10-2025 to 06-11-2025</t>
  </si>
  <si>
    <t>24,224.00(Dr)</t>
  </si>
  <si>
    <t>-37,50,401.36</t>
  </si>
  <si>
    <t>W52891178</t>
  </si>
  <si>
    <t>-37,26,177.36</t>
  </si>
  <si>
    <t>U62520152</t>
  </si>
  <si>
    <t>NEFT:YASH KATTIMANI HDFCH00542821491</t>
  </si>
  <si>
    <t>80,000.00(Cr)</t>
  </si>
  <si>
    <t>-37,46,177.36</t>
  </si>
  <si>
    <t>Y14428641</t>
  </si>
  <si>
    <t>374106550610128:N Int.:07-09-2025 to 06-10-2025</t>
  </si>
  <si>
    <t>25,789.00(Dr)</t>
  </si>
  <si>
    <t>-38,26,177.36</t>
  </si>
  <si>
    <t>A1014943</t>
  </si>
  <si>
    <t>Loan Recovery From : 374101980050000</t>
  </si>
  <si>
    <t>2,00,000.00(Cr)</t>
  </si>
  <si>
    <t>-38,00,388.36</t>
  </si>
  <si>
    <t>V16460442</t>
  </si>
  <si>
    <t>NEFT:YASH KATTIMANI HDFCH00516494774</t>
  </si>
  <si>
    <t>10,000.00(Cr)</t>
  </si>
  <si>
    <t>-40,00,388.36</t>
  </si>
  <si>
    <t>T73439515</t>
  </si>
  <si>
    <t>NEFT:YASH KATTIMANI HDFCH00508803297</t>
  </si>
  <si>
    <t>-40,10,388.36</t>
  </si>
  <si>
    <t>T68312533</t>
  </si>
  <si>
    <t>NEFT:YASH KATTIMANI HDFCH00508803222</t>
  </si>
  <si>
    <t>40,000.00(Cr)</t>
  </si>
  <si>
    <t>-40,20,388.36</t>
  </si>
  <si>
    <t>S6900564</t>
  </si>
  <si>
    <t>-40,60,388.36</t>
  </si>
  <si>
    <t>T61313349</t>
  </si>
  <si>
    <t>NEFT:YASH KATTIMANI HDFCH00492278287</t>
  </si>
  <si>
    <t>-40,80,388.36</t>
  </si>
  <si>
    <t>S24400894</t>
  </si>
  <si>
    <t>NEFT:YASH KATTIMANI HDFCH00488106875</t>
  </si>
  <si>
    <t>1,000.00(Cr)</t>
  </si>
  <si>
    <t>-41,20,388.36</t>
  </si>
  <si>
    <t>S96927817</t>
  </si>
  <si>
    <t>374106550610128:N Int.:07-08-2025 to 06-09-2025</t>
  </si>
  <si>
    <t>27,303.00(Dr)</t>
  </si>
  <si>
    <t>-41,21,388.36</t>
  </si>
  <si>
    <t>T76514276</t>
  </si>
  <si>
    <t>-40,94,085.36</t>
  </si>
  <si>
    <t>V65955187</t>
  </si>
  <si>
    <t>374106550610128:N Int.:07-07-2025 to 06-08-2025</t>
  </si>
  <si>
    <t>27,448.00(Dr)</t>
  </si>
  <si>
    <t>-41,14,085.36</t>
  </si>
  <si>
    <t>AA449399</t>
  </si>
  <si>
    <t>12,21,676.41(Dr)</t>
  </si>
  <si>
    <t>Deposited</t>
  </si>
  <si>
    <t>Interest</t>
  </si>
  <si>
    <t>Disbursed Amount</t>
  </si>
  <si>
    <t>39,95,666.36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</si>
</sst>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70" formatCode="_([$INR]\ * #,##0.00_);_([$INR]\ * \(#,##0.00\);_([$INR]\ * &quot;-&quot;??_);_(@_)"/>
  </numFmts>
  <fonts count="7">
    <font>
      <sz val="11"/>
      <color theme="1"/>
      <name val="Aptos Narrow"/>
      <family val="2"/>
      <scheme val="minor"/>
    </font>
    <font>
      <b/>
      <sz val="10"/>
      <color indexed="72"/>
      <name val="SansSerif"/>
    </font>
    <font>
      <b/>
      <sz val="10"/>
      <color indexed="72"/>
      <name val="Arial"/>
    </font>
    <font>
      <sz val="10"/>
      <color indexed="72"/>
      <name val="SansSerif"/>
    </font>
    <font>
      <sz val="9"/>
      <color indexed="72"/>
      <name val="SansSerif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5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right" vertical="center" wrapText="1"/>
    </xf>
    <xf numFmtId="166" fontId="1" fillId="2" borderId="1" xfId="0" applyNumberFormat="1" applyFont="1" applyFill="1" applyBorder="1" applyAlignment="1">
      <alignment horizontal="center" vertical="top" wrapText="1"/>
    </xf>
    <xf numFmtId="0" fontId="3" fillId="4" borderId="1" xfId="1" applyNumberFormat="1" applyFont="1" applyFill="1" applyBorder="1" applyAlignment="1" applyProtection="1">
      <alignment horizontal="center" vertical="center" wrapText="1"/>
    </xf>
    <xf numFmtId="0" fontId="4" fillId="4" borderId="1" xfId="1" applyNumberFormat="1" applyFont="1" applyFill="1" applyBorder="1" applyAlignment="1" applyProtection="1">
      <alignment horizontal="justify" vertical="center" wrapText="1"/>
    </xf>
    <xf numFmtId="0" fontId="3" fillId="4" borderId="1" xfId="1" applyNumberFormat="1" applyFont="1" applyFill="1" applyBorder="1" applyAlignment="1" applyProtection="1">
      <alignment horizontal="right" vertical="center" wrapText="1"/>
    </xf>
    <xf numFmtId="0" fontId="3" fillId="4" borderId="1" xfId="1" applyNumberFormat="1" applyFont="1" applyFill="1" applyBorder="1" applyAlignment="1" applyProtection="1">
      <alignment horizontal="center" vertical="center" wrapText="1"/>
    </xf>
    <xf numFmtId="0" fontId="4" fillId="4" borderId="1" xfId="1" applyNumberFormat="1" applyFont="1" applyFill="1" applyBorder="1" applyAlignment="1" applyProtection="1">
      <alignment horizontal="justify" vertical="center" wrapText="1"/>
    </xf>
    <xf numFmtId="0" fontId="3" fillId="4" borderId="1" xfId="1" applyNumberFormat="1" applyFont="1" applyFill="1" applyBorder="1" applyAlignment="1" applyProtection="1">
      <alignment horizontal="right" vertical="center" wrapText="1"/>
    </xf>
    <xf numFmtId="14" fontId="0" fillId="0" borderId="0" xfId="0" applyNumberFormat="1"/>
    <xf numFmtId="0" fontId="3" fillId="4" borderId="1" xfId="2" applyNumberFormat="1" applyFont="1" applyFill="1" applyBorder="1" applyAlignment="1" applyProtection="1">
      <alignment horizontal="center" vertical="center" wrapText="1"/>
    </xf>
    <xf numFmtId="0" fontId="4" fillId="4" borderId="1" xfId="2" applyNumberFormat="1" applyFont="1" applyFill="1" applyBorder="1" applyAlignment="1" applyProtection="1">
      <alignment horizontal="justify" vertical="center" wrapText="1"/>
    </xf>
    <xf numFmtId="0" fontId="3" fillId="4" borderId="1" xfId="2" applyNumberFormat="1" applyFont="1" applyFill="1" applyBorder="1" applyAlignment="1" applyProtection="1">
      <alignment horizontal="right" vertical="center" wrapText="1"/>
    </xf>
    <xf numFmtId="170" fontId="0" fillId="0" borderId="0" xfId="0" applyNumberFormat="1"/>
  </cellXfs>
  <cellStyles count="3">
    <cellStyle name="Normal" xfId="0" builtinId="0"/>
    <cellStyle name="Normal 2" xfId="1" xr:uid="{06D79102-577C-43E6-B189-7142256EA882}"/>
    <cellStyle name="Normal 3" xfId="2" xr:uid="{D30EF76C-A902-466B-958E-6BA6F65DA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2756-5DAE-4822-962C-DFF1A2FB53CB}">
  <dimension ref="A1:G87"/>
  <sheetViews>
    <sheetView tabSelected="1" topLeftCell="A73" workbookViewId="0">
      <selection activeCell="I83" sqref="I83"/>
    </sheetView>
  </sheetViews>
  <sheetFormatPr defaultColWidth="18" defaultRowHeight="15"/>
  <cols>
    <col min="6" max="7" width="18" style="18"/>
  </cols>
  <sheetData>
    <row r="1" spans="1:7">
      <c r="A1" s="7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8" t="s">
        <v>272</v>
      </c>
      <c r="G1" s="18" t="s">
        <v>273</v>
      </c>
    </row>
    <row r="2" spans="1:7" ht="36">
      <c r="A2" s="14">
        <v>45128</v>
      </c>
      <c r="B2" s="15" t="s">
        <v>270</v>
      </c>
      <c r="C2" s="16" t="s">
        <v>48</v>
      </c>
      <c r="D2" s="17" t="s">
        <v>271</v>
      </c>
      <c r="E2" s="17" t="s">
        <v>52</v>
      </c>
      <c r="F2" s="18" t="str">
        <f>IF(RIGHT(D2,3)="Cr)",VALUE(SUBSTITUTE(LEFT(D2,LEN(D2)-4),",","")),"")</f>
        <v/>
      </c>
      <c r="G2" s="18">
        <f>IF(RIGHT(D2,3)="Dr)",VALUE(SUBSTITUTE(LEFT(D2,LEN(D2)-4),",","")))</f>
        <v>1221676.4099999999</v>
      </c>
    </row>
    <row r="3" spans="1:7" ht="36">
      <c r="A3" s="14">
        <v>45145</v>
      </c>
      <c r="B3" s="4" t="s">
        <v>76</v>
      </c>
      <c r="C3" s="5" t="s">
        <v>41</v>
      </c>
      <c r="D3" s="6" t="s">
        <v>77</v>
      </c>
      <c r="E3" s="6" t="s">
        <v>52</v>
      </c>
      <c r="F3" s="18">
        <f>IF(RIGHT(D3,3)="Cr)",VALUE(SUBSTITUTE(LEFT(D3,LEN(D3)-4),",","")),"")</f>
        <v>5576</v>
      </c>
      <c r="G3" s="18" t="str">
        <f>IF(RIGHT(D3,3)="Dr)",VALUE(SUBSTITUTE(LEFT(D3,LEN(D3)-4),",","")),"")</f>
        <v/>
      </c>
    </row>
    <row r="4" spans="1:7" ht="36">
      <c r="A4" s="14">
        <v>45145</v>
      </c>
      <c r="B4" s="4" t="s">
        <v>78</v>
      </c>
      <c r="C4" s="5" t="s">
        <v>79</v>
      </c>
      <c r="D4" s="6" t="s">
        <v>80</v>
      </c>
      <c r="E4" s="6" t="s">
        <v>81</v>
      </c>
      <c r="F4" s="18" t="str">
        <f t="shared" ref="F4:F67" si="0">IF(RIGHT(D4,3)="Cr)",VALUE(SUBSTITUTE(LEFT(D4,LEN(D4)-4),",","")),"")</f>
        <v/>
      </c>
      <c r="G4" s="18">
        <f t="shared" ref="G4:G67" si="1">IF(RIGHT(D4,3)="Dr)",VALUE(SUBSTITUTE(LEFT(D4,LEN(D4)-4),",","")),"")</f>
        <v>5576</v>
      </c>
    </row>
    <row r="5" spans="1:7" ht="36">
      <c r="A5" s="14">
        <v>45176</v>
      </c>
      <c r="B5" s="4" t="s">
        <v>71</v>
      </c>
      <c r="C5" s="5" t="s">
        <v>41</v>
      </c>
      <c r="D5" s="6" t="s">
        <v>72</v>
      </c>
      <c r="E5" s="6" t="s">
        <v>73</v>
      </c>
      <c r="F5" s="18">
        <f t="shared" si="0"/>
        <v>5800.23</v>
      </c>
      <c r="G5" s="18" t="str">
        <f t="shared" si="1"/>
        <v/>
      </c>
    </row>
    <row r="6" spans="1:7" ht="36">
      <c r="A6" s="14">
        <v>45176</v>
      </c>
      <c r="B6" s="4" t="s">
        <v>74</v>
      </c>
      <c r="C6" s="5" t="s">
        <v>75</v>
      </c>
      <c r="D6" s="6" t="s">
        <v>55</v>
      </c>
      <c r="E6" s="6" t="s">
        <v>56</v>
      </c>
      <c r="F6" s="18" t="str">
        <f t="shared" si="0"/>
        <v/>
      </c>
      <c r="G6" s="18">
        <f t="shared" si="1"/>
        <v>10168</v>
      </c>
    </row>
    <row r="7" spans="1:7" ht="36">
      <c r="A7" s="14">
        <v>45177</v>
      </c>
      <c r="B7" s="4" t="s">
        <v>69</v>
      </c>
      <c r="C7" s="5" t="s">
        <v>41</v>
      </c>
      <c r="D7" s="6" t="s">
        <v>70</v>
      </c>
      <c r="E7" s="6" t="s">
        <v>52</v>
      </c>
      <c r="F7" s="18">
        <f t="shared" si="0"/>
        <v>4367.7700000000004</v>
      </c>
      <c r="G7" s="18" t="str">
        <f t="shared" si="1"/>
        <v/>
      </c>
    </row>
    <row r="8" spans="1:7" ht="36">
      <c r="A8" s="14">
        <v>45206</v>
      </c>
      <c r="B8" s="4" t="s">
        <v>66</v>
      </c>
      <c r="C8" s="5" t="s">
        <v>41</v>
      </c>
      <c r="D8" s="6" t="s">
        <v>58</v>
      </c>
      <c r="E8" s="6" t="s">
        <v>52</v>
      </c>
      <c r="F8" s="18">
        <f t="shared" si="0"/>
        <v>9840</v>
      </c>
      <c r="G8" s="18" t="str">
        <f t="shared" si="1"/>
        <v/>
      </c>
    </row>
    <row r="9" spans="1:7" ht="36">
      <c r="A9" s="14">
        <v>45206</v>
      </c>
      <c r="B9" s="4" t="s">
        <v>67</v>
      </c>
      <c r="C9" s="5" t="s">
        <v>68</v>
      </c>
      <c r="D9" s="6" t="s">
        <v>61</v>
      </c>
      <c r="E9" s="6" t="s">
        <v>62</v>
      </c>
      <c r="F9" s="18" t="str">
        <f t="shared" si="0"/>
        <v/>
      </c>
      <c r="G9" s="18">
        <f t="shared" si="1"/>
        <v>9840</v>
      </c>
    </row>
    <row r="10" spans="1:7" ht="36">
      <c r="A10" s="14">
        <v>45237</v>
      </c>
      <c r="B10" s="4" t="s">
        <v>63</v>
      </c>
      <c r="C10" s="5" t="s">
        <v>41</v>
      </c>
      <c r="D10" s="6" t="s">
        <v>51</v>
      </c>
      <c r="E10" s="6" t="s">
        <v>52</v>
      </c>
      <c r="F10" s="18">
        <f t="shared" si="0"/>
        <v>10168</v>
      </c>
      <c r="G10" s="18" t="str">
        <f t="shared" si="1"/>
        <v/>
      </c>
    </row>
    <row r="11" spans="1:7" ht="36">
      <c r="A11" s="14">
        <v>45237</v>
      </c>
      <c r="B11" s="4" t="s">
        <v>64</v>
      </c>
      <c r="C11" s="5" t="s">
        <v>65</v>
      </c>
      <c r="D11" s="6" t="s">
        <v>55</v>
      </c>
      <c r="E11" s="6" t="s">
        <v>56</v>
      </c>
      <c r="F11" s="18" t="str">
        <f t="shared" si="0"/>
        <v/>
      </c>
      <c r="G11" s="18">
        <f t="shared" si="1"/>
        <v>10168</v>
      </c>
    </row>
    <row r="12" spans="1:7" ht="36">
      <c r="A12" s="14">
        <v>45267</v>
      </c>
      <c r="B12" s="4" t="s">
        <v>57</v>
      </c>
      <c r="C12" s="5" t="s">
        <v>41</v>
      </c>
      <c r="D12" s="6" t="s">
        <v>58</v>
      </c>
      <c r="E12" s="6" t="s">
        <v>52</v>
      </c>
      <c r="F12" s="18">
        <f t="shared" si="0"/>
        <v>9840</v>
      </c>
      <c r="G12" s="18" t="str">
        <f t="shared" si="1"/>
        <v/>
      </c>
    </row>
    <row r="13" spans="1:7" ht="36">
      <c r="A13" s="14">
        <v>45267</v>
      </c>
      <c r="B13" s="4" t="s">
        <v>59</v>
      </c>
      <c r="C13" s="5" t="s">
        <v>60</v>
      </c>
      <c r="D13" s="6" t="s">
        <v>61</v>
      </c>
      <c r="E13" s="6" t="s">
        <v>62</v>
      </c>
      <c r="F13" s="18" t="str">
        <f t="shared" si="0"/>
        <v/>
      </c>
      <c r="G13" s="18">
        <f t="shared" si="1"/>
        <v>9840</v>
      </c>
    </row>
    <row r="14" spans="1:7" ht="36">
      <c r="A14" s="14">
        <v>45297</v>
      </c>
      <c r="B14" s="4" t="s">
        <v>53</v>
      </c>
      <c r="C14" s="5" t="s">
        <v>54</v>
      </c>
      <c r="D14" s="6" t="s">
        <v>55</v>
      </c>
      <c r="E14" s="6" t="s">
        <v>56</v>
      </c>
      <c r="F14" s="18" t="str">
        <f t="shared" si="0"/>
        <v/>
      </c>
      <c r="G14" s="18">
        <f t="shared" si="1"/>
        <v>10168</v>
      </c>
    </row>
    <row r="15" spans="1:7" ht="36">
      <c r="A15" s="14">
        <v>45298</v>
      </c>
      <c r="B15" s="4" t="s">
        <v>50</v>
      </c>
      <c r="C15" s="5" t="s">
        <v>41</v>
      </c>
      <c r="D15" s="6" t="s">
        <v>51</v>
      </c>
      <c r="E15" s="6" t="s">
        <v>52</v>
      </c>
      <c r="F15" s="18">
        <f t="shared" si="0"/>
        <v>10168</v>
      </c>
      <c r="G15" s="18" t="str">
        <f t="shared" si="1"/>
        <v/>
      </c>
    </row>
    <row r="16" spans="1:7" ht="36">
      <c r="A16" s="14">
        <v>45300</v>
      </c>
      <c r="B16" s="4" t="s">
        <v>47</v>
      </c>
      <c r="C16" s="5" t="s">
        <v>48</v>
      </c>
      <c r="D16" s="6" t="s">
        <v>49</v>
      </c>
      <c r="E16" s="6" t="s">
        <v>22</v>
      </c>
      <c r="F16" s="18" t="str">
        <f t="shared" si="0"/>
        <v/>
      </c>
      <c r="G16" s="18">
        <f t="shared" si="1"/>
        <v>1135971.07</v>
      </c>
    </row>
    <row r="17" spans="1:7" ht="36">
      <c r="A17" s="14">
        <v>45329</v>
      </c>
      <c r="B17" s="4" t="s">
        <v>40</v>
      </c>
      <c r="C17" s="5" t="s">
        <v>41</v>
      </c>
      <c r="D17" s="6" t="s">
        <v>42</v>
      </c>
      <c r="E17" s="6" t="s">
        <v>22</v>
      </c>
      <c r="F17" s="18">
        <f t="shared" si="0"/>
        <v>19013</v>
      </c>
      <c r="G17" s="18" t="str">
        <f t="shared" si="1"/>
        <v/>
      </c>
    </row>
    <row r="18" spans="1:7" ht="36">
      <c r="A18" s="14">
        <v>45329</v>
      </c>
      <c r="B18" s="4" t="s">
        <v>43</v>
      </c>
      <c r="C18" s="5" t="s">
        <v>44</v>
      </c>
      <c r="D18" s="6" t="s">
        <v>45</v>
      </c>
      <c r="E18" s="6" t="s">
        <v>46</v>
      </c>
      <c r="F18" s="18" t="str">
        <f t="shared" si="0"/>
        <v/>
      </c>
      <c r="G18" s="18">
        <f t="shared" si="1"/>
        <v>19013</v>
      </c>
    </row>
    <row r="19" spans="1:7" ht="36">
      <c r="A19" s="14">
        <v>45358</v>
      </c>
      <c r="B19" s="4" t="s">
        <v>36</v>
      </c>
      <c r="C19" s="5" t="s">
        <v>37</v>
      </c>
      <c r="D19" s="6" t="s">
        <v>38</v>
      </c>
      <c r="E19" s="6" t="s">
        <v>39</v>
      </c>
      <c r="F19" s="18" t="str">
        <f t="shared" si="0"/>
        <v/>
      </c>
      <c r="G19" s="18">
        <f t="shared" si="1"/>
        <v>18357</v>
      </c>
    </row>
    <row r="20" spans="1:7" ht="24">
      <c r="A20" s="14">
        <v>45381</v>
      </c>
      <c r="B20" s="4" t="s">
        <v>34</v>
      </c>
      <c r="C20" s="5" t="s">
        <v>6</v>
      </c>
      <c r="D20" s="6" t="s">
        <v>35</v>
      </c>
      <c r="E20" s="6" t="s">
        <v>22</v>
      </c>
      <c r="F20" s="18">
        <f t="shared" si="0"/>
        <v>18357</v>
      </c>
      <c r="G20" s="18" t="str">
        <f t="shared" si="1"/>
        <v/>
      </c>
    </row>
    <row r="21" spans="1:7" ht="36">
      <c r="A21" s="14">
        <v>45388</v>
      </c>
      <c r="B21" s="4" t="s">
        <v>30</v>
      </c>
      <c r="C21" s="5" t="s">
        <v>31</v>
      </c>
      <c r="D21" s="6" t="s">
        <v>32</v>
      </c>
      <c r="E21" s="6" t="s">
        <v>33</v>
      </c>
      <c r="F21" s="18" t="str">
        <f t="shared" si="0"/>
        <v/>
      </c>
      <c r="G21" s="18">
        <f t="shared" si="1"/>
        <v>19584</v>
      </c>
    </row>
    <row r="22" spans="1:7" ht="36">
      <c r="A22" s="14">
        <v>45419</v>
      </c>
      <c r="B22" s="4" t="s">
        <v>26</v>
      </c>
      <c r="C22" s="5" t="s">
        <v>27</v>
      </c>
      <c r="D22" s="6" t="s">
        <v>28</v>
      </c>
      <c r="E22" s="6" t="s">
        <v>29</v>
      </c>
      <c r="F22" s="18" t="str">
        <f t="shared" si="0"/>
        <v/>
      </c>
      <c r="G22" s="18">
        <f t="shared" si="1"/>
        <v>18843</v>
      </c>
    </row>
    <row r="23" spans="1:7" ht="24">
      <c r="A23" s="14">
        <v>45434</v>
      </c>
      <c r="B23" s="4" t="s">
        <v>20</v>
      </c>
      <c r="C23" s="5" t="s">
        <v>6</v>
      </c>
      <c r="D23" s="6" t="s">
        <v>21</v>
      </c>
      <c r="E23" s="6" t="s">
        <v>22</v>
      </c>
      <c r="F23" s="18">
        <f t="shared" si="0"/>
        <v>18843</v>
      </c>
      <c r="G23" s="18" t="str">
        <f t="shared" si="1"/>
        <v/>
      </c>
    </row>
    <row r="24" spans="1:7" ht="24">
      <c r="A24" s="14">
        <v>45434</v>
      </c>
      <c r="B24" s="4" t="s">
        <v>23</v>
      </c>
      <c r="C24" s="5" t="s">
        <v>6</v>
      </c>
      <c r="D24" s="6" t="s">
        <v>24</v>
      </c>
      <c r="E24" s="6" t="s">
        <v>25</v>
      </c>
      <c r="F24" s="18">
        <f t="shared" si="0"/>
        <v>19584</v>
      </c>
      <c r="G24" s="18" t="str">
        <f t="shared" si="1"/>
        <v/>
      </c>
    </row>
    <row r="25" spans="1:7" ht="36">
      <c r="A25" s="14">
        <v>45450</v>
      </c>
      <c r="B25" s="4" t="s">
        <v>16</v>
      </c>
      <c r="C25" s="5" t="s">
        <v>17</v>
      </c>
      <c r="D25" s="6" t="s">
        <v>18</v>
      </c>
      <c r="E25" s="6" t="s">
        <v>19</v>
      </c>
      <c r="F25" s="18" t="str">
        <f t="shared" si="0"/>
        <v/>
      </c>
      <c r="G25" s="18">
        <f t="shared" si="1"/>
        <v>19306</v>
      </c>
    </row>
    <row r="26" spans="1:7" ht="24">
      <c r="A26" s="14">
        <v>45472</v>
      </c>
      <c r="B26" s="4" t="s">
        <v>13</v>
      </c>
      <c r="C26" s="5" t="s">
        <v>6</v>
      </c>
      <c r="D26" s="6" t="s">
        <v>14</v>
      </c>
      <c r="E26" s="6" t="s">
        <v>15</v>
      </c>
      <c r="F26" s="18">
        <f t="shared" si="0"/>
        <v>20000</v>
      </c>
      <c r="G26" s="18" t="str">
        <f t="shared" si="1"/>
        <v/>
      </c>
    </row>
    <row r="27" spans="1:7" ht="36">
      <c r="A27" s="14">
        <v>45479</v>
      </c>
      <c r="B27" s="4" t="s">
        <v>9</v>
      </c>
      <c r="C27" s="5" t="s">
        <v>10</v>
      </c>
      <c r="D27" s="6" t="s">
        <v>11</v>
      </c>
      <c r="E27" s="6" t="s">
        <v>12</v>
      </c>
      <c r="F27" s="18" t="str">
        <f t="shared" si="0"/>
        <v/>
      </c>
      <c r="G27" s="18">
        <f t="shared" si="1"/>
        <v>18490</v>
      </c>
    </row>
    <row r="28" spans="1:7" ht="24">
      <c r="A28" s="14">
        <v>45503</v>
      </c>
      <c r="B28" s="4" t="s">
        <v>5</v>
      </c>
      <c r="C28" s="5" t="s">
        <v>6</v>
      </c>
      <c r="D28" s="6" t="s">
        <v>7</v>
      </c>
      <c r="E28" s="6" t="s">
        <v>8</v>
      </c>
      <c r="F28" s="18">
        <f t="shared" si="0"/>
        <v>19000</v>
      </c>
      <c r="G28" s="18" t="str">
        <f t="shared" si="1"/>
        <v/>
      </c>
    </row>
    <row r="29" spans="1:7" ht="36">
      <c r="A29" s="14">
        <v>45511</v>
      </c>
      <c r="B29" s="11" t="s">
        <v>157</v>
      </c>
      <c r="C29" s="12" t="s">
        <v>158</v>
      </c>
      <c r="D29" s="13" t="s">
        <v>159</v>
      </c>
      <c r="E29" s="13" t="s">
        <v>160</v>
      </c>
      <c r="F29" s="18" t="str">
        <f t="shared" si="0"/>
        <v/>
      </c>
      <c r="G29" s="18">
        <f t="shared" si="1"/>
        <v>18943</v>
      </c>
    </row>
    <row r="30" spans="1:7" ht="36">
      <c r="A30" s="14">
        <v>45524</v>
      </c>
      <c r="B30" s="8" t="s">
        <v>154</v>
      </c>
      <c r="C30" s="9" t="s">
        <v>48</v>
      </c>
      <c r="D30" s="10" t="s">
        <v>155</v>
      </c>
      <c r="E30" s="10" t="s">
        <v>156</v>
      </c>
      <c r="F30" s="18" t="str">
        <f t="shared" si="0"/>
        <v/>
      </c>
      <c r="G30" s="18">
        <f t="shared" si="1"/>
        <v>1299018.8799999999</v>
      </c>
    </row>
    <row r="31" spans="1:7" ht="24">
      <c r="A31" s="14">
        <v>45540</v>
      </c>
      <c r="B31" s="11" t="s">
        <v>152</v>
      </c>
      <c r="C31" s="12" t="s">
        <v>6</v>
      </c>
      <c r="D31" s="13" t="s">
        <v>7</v>
      </c>
      <c r="E31" s="13" t="s">
        <v>153</v>
      </c>
      <c r="F31" s="18">
        <f t="shared" si="0"/>
        <v>19000</v>
      </c>
      <c r="G31" s="18" t="str">
        <f t="shared" si="1"/>
        <v/>
      </c>
    </row>
    <row r="32" spans="1:7" ht="36">
      <c r="A32" s="14">
        <v>45541</v>
      </c>
      <c r="B32" s="8" t="s">
        <v>148</v>
      </c>
      <c r="C32" s="9" t="s">
        <v>149</v>
      </c>
      <c r="D32" s="10" t="s">
        <v>150</v>
      </c>
      <c r="E32" s="10" t="s">
        <v>151</v>
      </c>
      <c r="F32" s="18" t="str">
        <f t="shared" si="0"/>
        <v/>
      </c>
      <c r="G32" s="18">
        <f t="shared" si="1"/>
        <v>25094</v>
      </c>
    </row>
    <row r="33" spans="1:7">
      <c r="A33" s="14">
        <v>45561</v>
      </c>
      <c r="B33" s="11" t="s">
        <v>146</v>
      </c>
      <c r="C33" s="12" t="s">
        <v>83</v>
      </c>
      <c r="D33" s="13" t="s">
        <v>14</v>
      </c>
      <c r="E33" s="13" t="s">
        <v>147</v>
      </c>
      <c r="F33" s="18">
        <f t="shared" si="0"/>
        <v>20000</v>
      </c>
      <c r="G33" s="18" t="str">
        <f t="shared" si="1"/>
        <v/>
      </c>
    </row>
    <row r="34" spans="1:7" ht="36">
      <c r="A34" s="14">
        <v>45572</v>
      </c>
      <c r="B34" s="11" t="s">
        <v>142</v>
      </c>
      <c r="C34" s="12" t="s">
        <v>143</v>
      </c>
      <c r="D34" s="13" t="s">
        <v>144</v>
      </c>
      <c r="E34" s="13" t="s">
        <v>145</v>
      </c>
      <c r="F34" s="18" t="str">
        <f t="shared" si="0"/>
        <v/>
      </c>
      <c r="G34" s="18">
        <f t="shared" si="1"/>
        <v>28470</v>
      </c>
    </row>
    <row r="35" spans="1:7">
      <c r="A35" s="14">
        <v>45590</v>
      </c>
      <c r="B35" s="11" t="s">
        <v>140</v>
      </c>
      <c r="C35" s="12" t="s">
        <v>83</v>
      </c>
      <c r="D35" s="13" t="s">
        <v>14</v>
      </c>
      <c r="E35" s="13" t="s">
        <v>141</v>
      </c>
      <c r="F35" s="18">
        <f t="shared" si="0"/>
        <v>20000</v>
      </c>
      <c r="G35" s="18" t="str">
        <f t="shared" si="1"/>
        <v/>
      </c>
    </row>
    <row r="36" spans="1:7" ht="36">
      <c r="A36" s="14">
        <v>45603</v>
      </c>
      <c r="B36" s="8" t="s">
        <v>136</v>
      </c>
      <c r="C36" s="9" t="s">
        <v>137</v>
      </c>
      <c r="D36" s="10" t="s">
        <v>138</v>
      </c>
      <c r="E36" s="10" t="s">
        <v>139</v>
      </c>
      <c r="F36" s="18" t="str">
        <f t="shared" si="0"/>
        <v/>
      </c>
      <c r="G36" s="18">
        <f t="shared" si="1"/>
        <v>29244</v>
      </c>
    </row>
    <row r="37" spans="1:7">
      <c r="A37" s="14">
        <v>45622</v>
      </c>
      <c r="B37" s="11" t="s">
        <v>134</v>
      </c>
      <c r="C37" s="12" t="s">
        <v>83</v>
      </c>
      <c r="D37" s="13" t="s">
        <v>14</v>
      </c>
      <c r="E37" s="13" t="s">
        <v>135</v>
      </c>
      <c r="F37" s="18">
        <f t="shared" si="0"/>
        <v>20000</v>
      </c>
      <c r="G37" s="18" t="str">
        <f t="shared" si="1"/>
        <v/>
      </c>
    </row>
    <row r="38" spans="1:7" ht="36">
      <c r="A38" s="14">
        <v>45633</v>
      </c>
      <c r="B38" s="11" t="s">
        <v>130</v>
      </c>
      <c r="C38" s="12" t="s">
        <v>131</v>
      </c>
      <c r="D38" s="13" t="s">
        <v>132</v>
      </c>
      <c r="E38" s="13" t="s">
        <v>133</v>
      </c>
      <c r="F38" s="18" t="str">
        <f t="shared" si="0"/>
        <v/>
      </c>
      <c r="G38" s="18">
        <f t="shared" si="1"/>
        <v>28148</v>
      </c>
    </row>
    <row r="39" spans="1:7">
      <c r="A39" s="14">
        <v>45652</v>
      </c>
      <c r="B39" s="11" t="s">
        <v>128</v>
      </c>
      <c r="C39" s="12" t="s">
        <v>83</v>
      </c>
      <c r="D39" s="13" t="s">
        <v>14</v>
      </c>
      <c r="E39" s="13" t="s">
        <v>129</v>
      </c>
      <c r="F39" s="18">
        <f t="shared" si="0"/>
        <v>20000</v>
      </c>
      <c r="G39" s="18" t="str">
        <f t="shared" si="1"/>
        <v/>
      </c>
    </row>
    <row r="40" spans="1:7" ht="36">
      <c r="A40" s="14">
        <v>45664</v>
      </c>
      <c r="B40" s="11" t="s">
        <v>124</v>
      </c>
      <c r="C40" s="12" t="s">
        <v>125</v>
      </c>
      <c r="D40" s="13" t="s">
        <v>126</v>
      </c>
      <c r="E40" s="13" t="s">
        <v>127</v>
      </c>
      <c r="F40" s="18" t="str">
        <f t="shared" si="0"/>
        <v/>
      </c>
      <c r="G40" s="18">
        <f t="shared" si="1"/>
        <v>28916</v>
      </c>
    </row>
    <row r="41" spans="1:7">
      <c r="A41" s="14">
        <v>45681</v>
      </c>
      <c r="B41" s="11" t="s">
        <v>122</v>
      </c>
      <c r="C41" s="12" t="s">
        <v>83</v>
      </c>
      <c r="D41" s="13" t="s">
        <v>14</v>
      </c>
      <c r="E41" s="13" t="s">
        <v>123</v>
      </c>
      <c r="F41" s="18">
        <f t="shared" si="0"/>
        <v>20000</v>
      </c>
      <c r="G41" s="18" t="str">
        <f t="shared" si="1"/>
        <v/>
      </c>
    </row>
    <row r="42" spans="1:7" ht="36">
      <c r="A42" s="14">
        <v>45689</v>
      </c>
      <c r="B42" s="11" t="s">
        <v>119</v>
      </c>
      <c r="C42" s="12" t="s">
        <v>48</v>
      </c>
      <c r="D42" s="13" t="s">
        <v>120</v>
      </c>
      <c r="E42" s="13" t="s">
        <v>121</v>
      </c>
      <c r="F42" s="18" t="str">
        <f t="shared" si="0"/>
        <v/>
      </c>
      <c r="G42" s="18">
        <f t="shared" si="1"/>
        <v>339000</v>
      </c>
    </row>
    <row r="43" spans="1:7" ht="36">
      <c r="A43" s="14">
        <v>45695</v>
      </c>
      <c r="B43" s="11" t="s">
        <v>115</v>
      </c>
      <c r="C43" s="12" t="s">
        <v>116</v>
      </c>
      <c r="D43" s="13" t="s">
        <v>117</v>
      </c>
      <c r="E43" s="13" t="s">
        <v>118</v>
      </c>
      <c r="F43" s="18" t="str">
        <f t="shared" si="0"/>
        <v/>
      </c>
      <c r="G43" s="18">
        <f t="shared" si="1"/>
        <v>29285</v>
      </c>
    </row>
    <row r="44" spans="1:7">
      <c r="A44" s="14">
        <v>45713</v>
      </c>
      <c r="B44" s="11" t="s">
        <v>113</v>
      </c>
      <c r="C44" s="12" t="s">
        <v>83</v>
      </c>
      <c r="D44" s="13" t="s">
        <v>14</v>
      </c>
      <c r="E44" s="13" t="s">
        <v>114</v>
      </c>
      <c r="F44" s="18">
        <f t="shared" si="0"/>
        <v>20000</v>
      </c>
      <c r="G44" s="18" t="str">
        <f t="shared" si="1"/>
        <v/>
      </c>
    </row>
    <row r="45" spans="1:7" ht="36">
      <c r="A45" s="14">
        <v>45723</v>
      </c>
      <c r="B45" s="11" t="s">
        <v>109</v>
      </c>
      <c r="C45" s="12" t="s">
        <v>110</v>
      </c>
      <c r="D45" s="13" t="s">
        <v>111</v>
      </c>
      <c r="E45" s="13" t="s">
        <v>112</v>
      </c>
      <c r="F45" s="18" t="str">
        <f t="shared" si="0"/>
        <v/>
      </c>
      <c r="G45" s="18">
        <f t="shared" si="1"/>
        <v>27750</v>
      </c>
    </row>
    <row r="46" spans="1:7">
      <c r="A46" s="14">
        <v>45742</v>
      </c>
      <c r="B46" s="11" t="s">
        <v>107</v>
      </c>
      <c r="C46" s="12" t="s">
        <v>83</v>
      </c>
      <c r="D46" s="13" t="s">
        <v>14</v>
      </c>
      <c r="E46" s="13" t="s">
        <v>108</v>
      </c>
      <c r="F46" s="18">
        <f t="shared" si="0"/>
        <v>20000</v>
      </c>
      <c r="G46" s="18" t="str">
        <f t="shared" si="1"/>
        <v/>
      </c>
    </row>
    <row r="47" spans="1:7" ht="36">
      <c r="A47" s="14">
        <v>45754</v>
      </c>
      <c r="B47" s="11" t="s">
        <v>103</v>
      </c>
      <c r="C47" s="12" t="s">
        <v>104</v>
      </c>
      <c r="D47" s="13" t="s">
        <v>105</v>
      </c>
      <c r="E47" s="13" t="s">
        <v>106</v>
      </c>
      <c r="F47" s="18" t="str">
        <f t="shared" si="0"/>
        <v/>
      </c>
      <c r="G47" s="18">
        <f t="shared" si="1"/>
        <v>30442</v>
      </c>
    </row>
    <row r="48" spans="1:7">
      <c r="A48" s="14">
        <v>45772</v>
      </c>
      <c r="B48" s="11" t="s">
        <v>101</v>
      </c>
      <c r="C48" s="12" t="s">
        <v>83</v>
      </c>
      <c r="D48" s="13" t="s">
        <v>14</v>
      </c>
      <c r="E48" s="13" t="s">
        <v>102</v>
      </c>
      <c r="F48" s="18">
        <f t="shared" si="0"/>
        <v>20000</v>
      </c>
      <c r="G48" s="18" t="str">
        <f t="shared" si="1"/>
        <v/>
      </c>
    </row>
    <row r="49" spans="1:7" ht="36">
      <c r="A49" s="14">
        <v>45784</v>
      </c>
      <c r="B49" s="11" t="s">
        <v>97</v>
      </c>
      <c r="C49" s="12" t="s">
        <v>98</v>
      </c>
      <c r="D49" s="13" t="s">
        <v>99</v>
      </c>
      <c r="E49" s="13" t="s">
        <v>100</v>
      </c>
      <c r="F49" s="18" t="str">
        <f t="shared" si="0"/>
        <v/>
      </c>
      <c r="G49" s="18">
        <f t="shared" si="1"/>
        <v>28636</v>
      </c>
    </row>
    <row r="50" spans="1:7">
      <c r="A50" s="14">
        <v>45803</v>
      </c>
      <c r="B50" s="11" t="s">
        <v>95</v>
      </c>
      <c r="C50" s="12" t="s">
        <v>83</v>
      </c>
      <c r="D50" s="13" t="s">
        <v>14</v>
      </c>
      <c r="E50" s="13" t="s">
        <v>96</v>
      </c>
      <c r="F50" s="18">
        <f t="shared" si="0"/>
        <v>20000</v>
      </c>
      <c r="G50" s="18" t="str">
        <f t="shared" si="1"/>
        <v/>
      </c>
    </row>
    <row r="51" spans="1:7" ht="36">
      <c r="A51" s="14">
        <v>45814</v>
      </c>
      <c r="B51" s="8" t="s">
        <v>91</v>
      </c>
      <c r="C51" s="9" t="s">
        <v>92</v>
      </c>
      <c r="D51" s="10" t="s">
        <v>93</v>
      </c>
      <c r="E51" s="10" t="s">
        <v>94</v>
      </c>
      <c r="F51" s="18" t="str">
        <f t="shared" si="0"/>
        <v/>
      </c>
      <c r="G51" s="18">
        <f t="shared" si="1"/>
        <v>29329</v>
      </c>
    </row>
    <row r="52" spans="1:7">
      <c r="A52" s="14">
        <v>45834</v>
      </c>
      <c r="B52" s="11" t="s">
        <v>89</v>
      </c>
      <c r="C52" s="12" t="s">
        <v>83</v>
      </c>
      <c r="D52" s="13" t="s">
        <v>14</v>
      </c>
      <c r="E52" s="13" t="s">
        <v>90</v>
      </c>
      <c r="F52" s="18">
        <f t="shared" si="0"/>
        <v>20000</v>
      </c>
      <c r="G52" s="18" t="str">
        <f t="shared" si="1"/>
        <v/>
      </c>
    </row>
    <row r="53" spans="1:7" ht="36">
      <c r="A53" s="14">
        <v>45845</v>
      </c>
      <c r="B53" s="11" t="s">
        <v>85</v>
      </c>
      <c r="C53" s="12" t="s">
        <v>86</v>
      </c>
      <c r="D53" s="13" t="s">
        <v>87</v>
      </c>
      <c r="E53" s="13" t="s">
        <v>88</v>
      </c>
      <c r="F53" s="18" t="str">
        <f t="shared" si="0"/>
        <v/>
      </c>
      <c r="G53" s="18">
        <f t="shared" si="1"/>
        <v>26918</v>
      </c>
    </row>
    <row r="54" spans="1:7">
      <c r="A54" s="14">
        <v>45863</v>
      </c>
      <c r="B54" s="11" t="s">
        <v>82</v>
      </c>
      <c r="C54" s="12" t="s">
        <v>83</v>
      </c>
      <c r="D54" s="13" t="s">
        <v>14</v>
      </c>
      <c r="E54" s="13" t="s">
        <v>84</v>
      </c>
      <c r="F54" s="18">
        <f t="shared" si="0"/>
        <v>20000</v>
      </c>
      <c r="G54" s="18" t="str">
        <f t="shared" si="1"/>
        <v/>
      </c>
    </row>
    <row r="55" spans="1:7" ht="36">
      <c r="A55" s="14">
        <v>45876</v>
      </c>
      <c r="B55" s="11" t="s">
        <v>266</v>
      </c>
      <c r="C55" s="12" t="s">
        <v>267</v>
      </c>
      <c r="D55" s="13" t="s">
        <v>268</v>
      </c>
      <c r="E55" s="13" t="s">
        <v>269</v>
      </c>
      <c r="F55" s="18" t="str">
        <f t="shared" si="0"/>
        <v/>
      </c>
      <c r="G55" s="18">
        <f t="shared" si="1"/>
        <v>27448</v>
      </c>
    </row>
    <row r="56" spans="1:7">
      <c r="A56" s="14">
        <v>45895</v>
      </c>
      <c r="B56" s="11" t="s">
        <v>264</v>
      </c>
      <c r="C56" s="12" t="s">
        <v>83</v>
      </c>
      <c r="D56" s="13" t="s">
        <v>14</v>
      </c>
      <c r="E56" s="13" t="s">
        <v>265</v>
      </c>
      <c r="F56" s="18">
        <f t="shared" si="0"/>
        <v>20000</v>
      </c>
      <c r="G56" s="18" t="str">
        <f t="shared" si="1"/>
        <v/>
      </c>
    </row>
    <row r="57" spans="1:7" ht="36">
      <c r="A57" s="14">
        <v>45906</v>
      </c>
      <c r="B57" s="11" t="s">
        <v>260</v>
      </c>
      <c r="C57" s="12" t="s">
        <v>261</v>
      </c>
      <c r="D57" s="13" t="s">
        <v>262</v>
      </c>
      <c r="E57" s="13" t="s">
        <v>263</v>
      </c>
      <c r="F57" s="18" t="str">
        <f t="shared" si="0"/>
        <v/>
      </c>
      <c r="G57" s="18">
        <f t="shared" si="1"/>
        <v>27303</v>
      </c>
    </row>
    <row r="58" spans="1:7" ht="48">
      <c r="A58" s="14">
        <v>45915</v>
      </c>
      <c r="B58" s="11" t="s">
        <v>256</v>
      </c>
      <c r="C58" s="12" t="s">
        <v>257</v>
      </c>
      <c r="D58" s="13" t="s">
        <v>258</v>
      </c>
      <c r="E58" s="13" t="s">
        <v>259</v>
      </c>
      <c r="F58" s="18">
        <f t="shared" si="0"/>
        <v>1000</v>
      </c>
      <c r="G58" s="18" t="str">
        <f t="shared" si="1"/>
        <v/>
      </c>
    </row>
    <row r="59" spans="1:7" ht="48">
      <c r="A59" s="14">
        <v>45918</v>
      </c>
      <c r="B59" s="11" t="s">
        <v>253</v>
      </c>
      <c r="C59" s="12" t="s">
        <v>254</v>
      </c>
      <c r="D59" s="13" t="s">
        <v>249</v>
      </c>
      <c r="E59" s="13" t="s">
        <v>255</v>
      </c>
      <c r="F59" s="18">
        <f t="shared" si="0"/>
        <v>40000</v>
      </c>
      <c r="G59" s="18" t="str">
        <f t="shared" si="1"/>
        <v/>
      </c>
    </row>
    <row r="60" spans="1:7">
      <c r="A60" s="14">
        <v>45926</v>
      </c>
      <c r="B60" s="11" t="s">
        <v>251</v>
      </c>
      <c r="C60" s="12" t="s">
        <v>83</v>
      </c>
      <c r="D60" s="13" t="s">
        <v>14</v>
      </c>
      <c r="E60" s="13" t="s">
        <v>252</v>
      </c>
      <c r="F60" s="18">
        <f t="shared" si="0"/>
        <v>20000</v>
      </c>
      <c r="G60" s="18" t="str">
        <f t="shared" si="1"/>
        <v/>
      </c>
    </row>
    <row r="61" spans="1:7" ht="48">
      <c r="A61" s="14">
        <v>45929</v>
      </c>
      <c r="B61" s="11" t="s">
        <v>244</v>
      </c>
      <c r="C61" s="12" t="s">
        <v>245</v>
      </c>
      <c r="D61" s="13" t="s">
        <v>242</v>
      </c>
      <c r="E61" s="13" t="s">
        <v>246</v>
      </c>
      <c r="F61" s="18">
        <f t="shared" si="0"/>
        <v>10000</v>
      </c>
      <c r="G61" s="18" t="str">
        <f t="shared" si="1"/>
        <v/>
      </c>
    </row>
    <row r="62" spans="1:7" ht="48">
      <c r="A62" s="14">
        <v>45929</v>
      </c>
      <c r="B62" s="11" t="s">
        <v>247</v>
      </c>
      <c r="C62" s="12" t="s">
        <v>248</v>
      </c>
      <c r="D62" s="13" t="s">
        <v>249</v>
      </c>
      <c r="E62" s="13" t="s">
        <v>250</v>
      </c>
      <c r="F62" s="18">
        <f t="shared" si="0"/>
        <v>40000</v>
      </c>
      <c r="G62" s="18" t="str">
        <f t="shared" si="1"/>
        <v/>
      </c>
    </row>
    <row r="63" spans="1:7" ht="48">
      <c r="A63" s="14">
        <v>45931</v>
      </c>
      <c r="B63" s="11" t="s">
        <v>240</v>
      </c>
      <c r="C63" s="12" t="s">
        <v>241</v>
      </c>
      <c r="D63" s="13" t="s">
        <v>242</v>
      </c>
      <c r="E63" s="13" t="s">
        <v>243</v>
      </c>
      <c r="F63" s="18">
        <f t="shared" si="0"/>
        <v>10000</v>
      </c>
      <c r="G63" s="18" t="str">
        <f t="shared" si="1"/>
        <v/>
      </c>
    </row>
    <row r="64" spans="1:7" ht="24">
      <c r="A64" s="14">
        <v>45933</v>
      </c>
      <c r="B64" s="11" t="s">
        <v>236</v>
      </c>
      <c r="C64" s="12" t="s">
        <v>237</v>
      </c>
      <c r="D64" s="13" t="s">
        <v>238</v>
      </c>
      <c r="E64" s="13" t="s">
        <v>239</v>
      </c>
      <c r="F64" s="18">
        <f t="shared" si="0"/>
        <v>200000</v>
      </c>
      <c r="G64" s="18" t="str">
        <f t="shared" si="1"/>
        <v/>
      </c>
    </row>
    <row r="65" spans="1:7" ht="36">
      <c r="A65" s="14">
        <v>45936</v>
      </c>
      <c r="B65" s="11" t="s">
        <v>232</v>
      </c>
      <c r="C65" s="12" t="s">
        <v>233</v>
      </c>
      <c r="D65" s="13" t="s">
        <v>234</v>
      </c>
      <c r="E65" s="13" t="s">
        <v>235</v>
      </c>
      <c r="F65" s="18" t="str">
        <f t="shared" si="0"/>
        <v/>
      </c>
      <c r="G65" s="18">
        <f t="shared" si="1"/>
        <v>25789</v>
      </c>
    </row>
    <row r="66" spans="1:7" ht="48">
      <c r="A66" s="14">
        <v>45941</v>
      </c>
      <c r="B66" s="11" t="s">
        <v>228</v>
      </c>
      <c r="C66" s="12" t="s">
        <v>229</v>
      </c>
      <c r="D66" s="13" t="s">
        <v>230</v>
      </c>
      <c r="E66" s="13" t="s">
        <v>231</v>
      </c>
      <c r="F66" s="18">
        <f t="shared" si="0"/>
        <v>80000</v>
      </c>
      <c r="G66" s="18" t="str">
        <f t="shared" si="1"/>
        <v/>
      </c>
    </row>
    <row r="67" spans="1:7">
      <c r="A67" s="14">
        <v>45954</v>
      </c>
      <c r="B67" s="11" t="s">
        <v>226</v>
      </c>
      <c r="C67" s="12" t="s">
        <v>83</v>
      </c>
      <c r="D67" s="13" t="s">
        <v>14</v>
      </c>
      <c r="E67" s="13" t="s">
        <v>227</v>
      </c>
      <c r="F67" s="18">
        <f t="shared" si="0"/>
        <v>20000</v>
      </c>
      <c r="G67" s="18" t="str">
        <f t="shared" si="1"/>
        <v/>
      </c>
    </row>
    <row r="68" spans="1:7" ht="36">
      <c r="A68" s="14">
        <v>45968</v>
      </c>
      <c r="B68" s="11" t="s">
        <v>222</v>
      </c>
      <c r="C68" s="12" t="s">
        <v>223</v>
      </c>
      <c r="D68" s="13" t="s">
        <v>224</v>
      </c>
      <c r="E68" s="13" t="s">
        <v>225</v>
      </c>
      <c r="F68" s="18" t="str">
        <f t="shared" ref="F68:F86" si="2">IF(RIGHT(D68,3)="Cr)",VALUE(SUBSTITUTE(LEFT(D68,LEN(D68)-4),",","")),"")</f>
        <v/>
      </c>
      <c r="G68" s="18">
        <f t="shared" ref="G68:G86" si="3">IF(RIGHT(D68,3)="Dr)",VALUE(SUBSTITUTE(LEFT(D68,LEN(D68)-4),",","")),"")</f>
        <v>24224</v>
      </c>
    </row>
    <row r="69" spans="1:7" ht="48">
      <c r="A69" s="14">
        <v>45969</v>
      </c>
      <c r="B69" s="11" t="s">
        <v>214</v>
      </c>
      <c r="C69" s="12" t="s">
        <v>215</v>
      </c>
      <c r="D69" s="13" t="s">
        <v>216</v>
      </c>
      <c r="E69" s="13" t="s">
        <v>217</v>
      </c>
      <c r="F69" s="18">
        <f t="shared" si="2"/>
        <v>110000</v>
      </c>
      <c r="G69" s="18" t="str">
        <f t="shared" si="3"/>
        <v/>
      </c>
    </row>
    <row r="70" spans="1:7" ht="48">
      <c r="A70" s="14">
        <v>45969</v>
      </c>
      <c r="B70" s="11" t="s">
        <v>218</v>
      </c>
      <c r="C70" s="12" t="s">
        <v>219</v>
      </c>
      <c r="D70" s="13" t="s">
        <v>220</v>
      </c>
      <c r="E70" s="13" t="s">
        <v>221</v>
      </c>
      <c r="F70" s="18">
        <f t="shared" si="2"/>
        <v>25000</v>
      </c>
      <c r="G70" s="18" t="str">
        <f t="shared" si="3"/>
        <v/>
      </c>
    </row>
    <row r="71" spans="1:7">
      <c r="A71" s="14">
        <v>45987</v>
      </c>
      <c r="B71" s="11" t="s">
        <v>212</v>
      </c>
      <c r="C71" s="12" t="s">
        <v>83</v>
      </c>
      <c r="D71" s="13" t="s">
        <v>14</v>
      </c>
      <c r="E71" s="13" t="s">
        <v>213</v>
      </c>
      <c r="F71" s="18">
        <f t="shared" si="2"/>
        <v>20000</v>
      </c>
      <c r="G71" s="18" t="str">
        <f t="shared" si="3"/>
        <v/>
      </c>
    </row>
    <row r="72" spans="1:7" ht="48">
      <c r="A72" s="14">
        <v>45989</v>
      </c>
      <c r="B72" s="11" t="s">
        <v>208</v>
      </c>
      <c r="C72" s="12" t="s">
        <v>209</v>
      </c>
      <c r="D72" s="13" t="s">
        <v>210</v>
      </c>
      <c r="E72" s="13" t="s">
        <v>211</v>
      </c>
      <c r="F72" s="18">
        <f t="shared" si="2"/>
        <v>120000</v>
      </c>
      <c r="G72" s="18" t="str">
        <f t="shared" si="3"/>
        <v/>
      </c>
    </row>
    <row r="73" spans="1:7" ht="36">
      <c r="A73" s="14">
        <v>45997</v>
      </c>
      <c r="B73" s="11" t="s">
        <v>204</v>
      </c>
      <c r="C73" s="12" t="s">
        <v>205</v>
      </c>
      <c r="D73" s="13" t="s">
        <v>206</v>
      </c>
      <c r="E73" s="13" t="s">
        <v>207</v>
      </c>
      <c r="F73" s="18" t="str">
        <f t="shared" si="2"/>
        <v/>
      </c>
      <c r="G73" s="18">
        <f t="shared" si="3"/>
        <v>22032</v>
      </c>
    </row>
    <row r="74" spans="1:7" ht="48">
      <c r="A74" s="14">
        <v>46005</v>
      </c>
      <c r="B74" s="11" t="s">
        <v>200</v>
      </c>
      <c r="C74" s="12" t="s">
        <v>201</v>
      </c>
      <c r="D74" s="13" t="s">
        <v>202</v>
      </c>
      <c r="E74" s="13" t="s">
        <v>203</v>
      </c>
      <c r="F74" s="18">
        <f t="shared" si="2"/>
        <v>70000</v>
      </c>
      <c r="G74" s="18" t="str">
        <f t="shared" si="3"/>
        <v/>
      </c>
    </row>
    <row r="75" spans="1:7">
      <c r="A75" s="14">
        <v>46017</v>
      </c>
      <c r="B75" s="11" t="s">
        <v>198</v>
      </c>
      <c r="C75" s="12" t="s">
        <v>83</v>
      </c>
      <c r="D75" s="13" t="s">
        <v>14</v>
      </c>
      <c r="E75" s="13" t="s">
        <v>199</v>
      </c>
      <c r="F75" s="18">
        <f t="shared" si="2"/>
        <v>20000</v>
      </c>
      <c r="G75" s="18" t="str">
        <f t="shared" si="3"/>
        <v/>
      </c>
    </row>
    <row r="76" spans="1:7" ht="36">
      <c r="A76" s="14">
        <v>46029</v>
      </c>
      <c r="B76" s="11" t="s">
        <v>194</v>
      </c>
      <c r="C76" s="12" t="s">
        <v>195</v>
      </c>
      <c r="D76" s="13" t="s">
        <v>196</v>
      </c>
      <c r="E76" s="13" t="s">
        <v>197</v>
      </c>
      <c r="F76" s="18" t="str">
        <f t="shared" si="2"/>
        <v/>
      </c>
      <c r="G76" s="18">
        <f t="shared" si="3"/>
        <v>21155</v>
      </c>
    </row>
    <row r="77" spans="1:7">
      <c r="A77" s="14">
        <v>46045</v>
      </c>
      <c r="B77" s="11" t="s">
        <v>192</v>
      </c>
      <c r="C77" s="12" t="s">
        <v>83</v>
      </c>
      <c r="D77" s="13" t="s">
        <v>14</v>
      </c>
      <c r="E77" s="13" t="s">
        <v>193</v>
      </c>
      <c r="F77" s="18">
        <f t="shared" si="2"/>
        <v>20000</v>
      </c>
      <c r="G77" s="18" t="str">
        <f t="shared" si="3"/>
        <v/>
      </c>
    </row>
    <row r="78" spans="1:7" ht="48">
      <c r="A78" s="14">
        <v>46054</v>
      </c>
      <c r="B78" s="11" t="s">
        <v>185</v>
      </c>
      <c r="C78" s="12" t="s">
        <v>186</v>
      </c>
      <c r="D78" s="13" t="s">
        <v>187</v>
      </c>
      <c r="E78" s="13" t="s">
        <v>188</v>
      </c>
      <c r="F78" s="18">
        <f t="shared" si="2"/>
        <v>50000</v>
      </c>
      <c r="G78" s="18" t="str">
        <f t="shared" si="3"/>
        <v/>
      </c>
    </row>
    <row r="79" spans="1:7" ht="48">
      <c r="A79" s="14">
        <v>46054</v>
      </c>
      <c r="B79" s="11" t="s">
        <v>189</v>
      </c>
      <c r="C79" s="12" t="s">
        <v>190</v>
      </c>
      <c r="D79" s="13" t="s">
        <v>183</v>
      </c>
      <c r="E79" s="13" t="s">
        <v>191</v>
      </c>
      <c r="F79" s="18">
        <f t="shared" si="2"/>
        <v>100000</v>
      </c>
      <c r="G79" s="18" t="str">
        <f t="shared" si="3"/>
        <v/>
      </c>
    </row>
    <row r="80" spans="1:7" ht="48">
      <c r="A80" s="14">
        <v>46058</v>
      </c>
      <c r="B80" s="11" t="s">
        <v>181</v>
      </c>
      <c r="C80" s="12" t="s">
        <v>182</v>
      </c>
      <c r="D80" s="13" t="s">
        <v>183</v>
      </c>
      <c r="E80" s="13" t="s">
        <v>184</v>
      </c>
      <c r="F80" s="18">
        <f t="shared" si="2"/>
        <v>100000</v>
      </c>
      <c r="G80" s="18" t="str">
        <f t="shared" si="3"/>
        <v/>
      </c>
    </row>
    <row r="81" spans="1:7" ht="36">
      <c r="A81" s="14">
        <v>46060</v>
      </c>
      <c r="B81" s="11" t="s">
        <v>177</v>
      </c>
      <c r="C81" s="12" t="s">
        <v>178</v>
      </c>
      <c r="D81" s="13" t="s">
        <v>179</v>
      </c>
      <c r="E81" s="13" t="s">
        <v>180</v>
      </c>
      <c r="F81" s="18" t="str">
        <f t="shared" si="2"/>
        <v/>
      </c>
      <c r="G81" s="18">
        <f t="shared" si="3"/>
        <v>20403</v>
      </c>
    </row>
    <row r="82" spans="1:7">
      <c r="A82" s="14">
        <v>46079</v>
      </c>
      <c r="B82" s="11" t="s">
        <v>175</v>
      </c>
      <c r="C82" s="12" t="s">
        <v>83</v>
      </c>
      <c r="D82" s="13" t="s">
        <v>14</v>
      </c>
      <c r="E82" s="13" t="s">
        <v>176</v>
      </c>
      <c r="F82" s="18">
        <f t="shared" si="2"/>
        <v>20000</v>
      </c>
      <c r="G82" s="18" t="str">
        <f t="shared" si="3"/>
        <v/>
      </c>
    </row>
    <row r="83" spans="1:7" ht="36">
      <c r="A83" s="14">
        <v>46088</v>
      </c>
      <c r="B83" s="11" t="s">
        <v>171</v>
      </c>
      <c r="C83" s="12" t="s">
        <v>172</v>
      </c>
      <c r="D83" s="13" t="s">
        <v>173</v>
      </c>
      <c r="E83" s="13" t="s">
        <v>174</v>
      </c>
      <c r="F83" s="18" t="str">
        <f t="shared" si="2"/>
        <v/>
      </c>
      <c r="G83" s="18">
        <f t="shared" si="3"/>
        <v>16912</v>
      </c>
    </row>
    <row r="84" spans="1:7">
      <c r="A84" s="14">
        <v>46107</v>
      </c>
      <c r="B84" s="11" t="s">
        <v>169</v>
      </c>
      <c r="C84" s="12" t="s">
        <v>83</v>
      </c>
      <c r="D84" s="13" t="s">
        <v>14</v>
      </c>
      <c r="E84" s="13" t="s">
        <v>170</v>
      </c>
      <c r="F84" s="18">
        <f t="shared" si="2"/>
        <v>20000</v>
      </c>
      <c r="G84" s="18" t="str">
        <f t="shared" si="3"/>
        <v/>
      </c>
    </row>
    <row r="85" spans="1:7" ht="36">
      <c r="A85" s="14">
        <v>46119</v>
      </c>
      <c r="B85" s="11" t="s">
        <v>165</v>
      </c>
      <c r="C85" s="12" t="s">
        <v>166</v>
      </c>
      <c r="D85" s="13" t="s">
        <v>167</v>
      </c>
      <c r="E85" s="13" t="s">
        <v>168</v>
      </c>
      <c r="F85" s="18" t="str">
        <f t="shared" si="2"/>
        <v/>
      </c>
      <c r="G85" s="18">
        <f t="shared" si="3"/>
        <v>18569</v>
      </c>
    </row>
    <row r="86" spans="1:7" ht="48">
      <c r="A86" s="14">
        <v>46127</v>
      </c>
      <c r="B86" s="11" t="s">
        <v>161</v>
      </c>
      <c r="C86" s="12" t="s">
        <v>162</v>
      </c>
      <c r="D86" s="13" t="s">
        <v>163</v>
      </c>
      <c r="E86" s="13" t="s">
        <v>164</v>
      </c>
      <c r="F86" s="18">
        <f t="shared" si="2"/>
        <v>150000</v>
      </c>
      <c r="G86" s="18" t="str">
        <f t="shared" si="3"/>
        <v/>
      </c>
    </row>
    <row r="87" spans="1:7">
      <c r="F87" s="18">
        <f>SUM(F2:F86)</f>
        <v>1675557</v>
      </c>
      <c r="G87" s="18">
        <f>SUM(G2:G86)</f>
        <v>4700029.3599999994</v>
      </c>
    </row>
  </sheetData>
  <autoFilter ref="A1:G87" xr:uid="{3B302756-5DAE-4822-962C-DFF1A2FB53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7744-6A07-478A-9DC5-3F5FFD301537}">
  <dimension ref="A1:B1"/>
  <sheetViews>
    <sheetView workbookViewId="0">
      <selection activeCell="B7" sqref="B7"/>
    </sheetView>
  </sheetViews>
  <sheetFormatPr defaultRowHeight="15"/>
  <cols>
    <col min="1" max="1" width="17.5703125" bestFit="1" customWidth="1"/>
    <col min="2" max="2" width="11.7109375" bestFit="1" customWidth="1"/>
  </cols>
  <sheetData>
    <row r="1" spans="1:2">
      <c r="A1" t="s">
        <v>274</v>
      </c>
      <c r="B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KATTIMANI</dc:creator>
  <cp:lastModifiedBy>YASH KATTIMANI</cp:lastModifiedBy>
  <dcterms:created xsi:type="dcterms:W3CDTF">2026-04-16T04:06:08Z</dcterms:created>
  <dcterms:modified xsi:type="dcterms:W3CDTF">2026-04-16T06:36:53Z</dcterms:modified>
</cp:coreProperties>
</file>